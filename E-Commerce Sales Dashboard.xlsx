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xr:revisionPtr revIDLastSave="0" documentId="8_{A48EF2CC-363D-4D7F-A7BA-F84CE215BB0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ales_Data" sheetId="1" r:id="rId1"/>
    <sheet name="Dashboard" sheetId="2" r:id="rId2"/>
  </sheets>
  <calcPr calcId="191028"/>
  <pivotCaches>
    <pivotCache cacheId="6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P14" i="1"/>
  <c r="P15" i="1"/>
  <c r="P13" i="1"/>
  <c r="P12" i="1"/>
  <c r="Y2" i="1"/>
  <c r="Z2" i="1" s="1"/>
  <c r="Y3" i="1"/>
  <c r="Z3" i="1" s="1"/>
  <c r="Y4" i="1"/>
  <c r="Z4" i="1" s="1"/>
  <c r="Y5" i="1"/>
  <c r="Z5" i="1" s="1"/>
  <c r="X2" i="1"/>
  <c r="X3" i="1"/>
  <c r="X4" i="1"/>
  <c r="X5" i="1"/>
  <c r="J2" i="1"/>
  <c r="J3" i="1"/>
  <c r="J4" i="1"/>
  <c r="J5" i="1"/>
  <c r="J6" i="1"/>
  <c r="J7" i="1"/>
  <c r="J8" i="1"/>
  <c r="J9" i="1"/>
  <c r="J10" i="1"/>
  <c r="J11" i="1"/>
  <c r="V9" i="1" l="1"/>
  <c r="V8" i="1"/>
  <c r="B19" i="1"/>
  <c r="B18" i="1"/>
</calcChain>
</file>

<file path=xl/sharedStrings.xml><?xml version="1.0" encoding="utf-8"?>
<sst xmlns="http://schemas.openxmlformats.org/spreadsheetml/2006/main" count="150" uniqueCount="68">
  <si>
    <t>Order_ID</t>
  </si>
  <si>
    <t>Date</t>
  </si>
  <si>
    <t>Customer</t>
  </si>
  <si>
    <t>Product</t>
  </si>
  <si>
    <t>Category</t>
  </si>
  <si>
    <t>City</t>
  </si>
  <si>
    <t>Quantity</t>
  </si>
  <si>
    <t>Price</t>
  </si>
  <si>
    <t>Sales</t>
  </si>
  <si>
    <t>Order_Type</t>
  </si>
  <si>
    <t>O001</t>
  </si>
  <si>
    <t>Rahul</t>
  </si>
  <si>
    <t>Laptop</t>
  </si>
  <si>
    <t>Electronics</t>
  </si>
  <si>
    <t>Mumbai</t>
  </si>
  <si>
    <t>O011</t>
  </si>
  <si>
    <t>O007</t>
  </si>
  <si>
    <t>Vikram</t>
  </si>
  <si>
    <t>Delhi</t>
  </si>
  <si>
    <t>Mobile</t>
  </si>
  <si>
    <t>O012</t>
  </si>
  <si>
    <t>O002</t>
  </si>
  <si>
    <t>Priya</t>
  </si>
  <si>
    <t>Pune</t>
  </si>
  <si>
    <t>Headphones</t>
  </si>
  <si>
    <t>O013</t>
  </si>
  <si>
    <t>Watch</t>
  </si>
  <si>
    <t>O009</t>
  </si>
  <si>
    <t>Karan</t>
  </si>
  <si>
    <t>Accessories</t>
  </si>
  <si>
    <t>O014</t>
  </si>
  <si>
    <t>Shoes</t>
  </si>
  <si>
    <t>O010</t>
  </si>
  <si>
    <t>Pooja</t>
  </si>
  <si>
    <t>Fashion</t>
  </si>
  <si>
    <t>O003</t>
  </si>
  <si>
    <t>Arjun</t>
  </si>
  <si>
    <t>T-Shirt</t>
  </si>
  <si>
    <t>Metric</t>
  </si>
  <si>
    <t>Value</t>
  </si>
  <si>
    <t>O005</t>
  </si>
  <si>
    <t>Amit</t>
  </si>
  <si>
    <t>Electronics Sales</t>
  </si>
  <si>
    <t>O006</t>
  </si>
  <si>
    <t>Neha</t>
  </si>
  <si>
    <t>Fashion Sales</t>
  </si>
  <si>
    <t>O004</t>
  </si>
  <si>
    <t>Sana</t>
  </si>
  <si>
    <t>Nagpur</t>
  </si>
  <si>
    <t>O008</t>
  </si>
  <si>
    <t>Ayesha</t>
  </si>
  <si>
    <t>Total Revenue</t>
  </si>
  <si>
    <t>Sum of Sales</t>
  </si>
  <si>
    <t>Total Orders</t>
  </si>
  <si>
    <t>₹235,000</t>
  </si>
  <si>
    <t>Average Sales</t>
  </si>
  <si>
    <t>₹23,500</t>
  </si>
  <si>
    <t>Highest Sale</t>
  </si>
  <si>
    <t>Electronics Revenue</t>
  </si>
  <si>
    <t>₹100,000</t>
  </si>
  <si>
    <t>High Value orders</t>
  </si>
  <si>
    <t>Total High value order</t>
  </si>
  <si>
    <t>Grand Total</t>
  </si>
  <si>
    <t>E-Commerce Sales Dashboard</t>
  </si>
  <si>
    <t>₹206,000</t>
  </si>
  <si>
    <t>Top Product</t>
  </si>
  <si>
    <t>Top City</t>
  </si>
  <si>
    <t>Electronics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</si>
</sst>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14" fontId="0" fillId="0" borderId="0" xfId="0" applyNumberFormat="1" applyBorder="1"/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dd/mm/yyyy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Dashboard.xlsx]Sales_Data!PivotTable2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Sales_Data!$D$14:$D$20</c:f>
              <c:strCache>
                <c:ptCount val="6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Shoes</c:v>
                </c:pt>
                <c:pt idx="4">
                  <c:v>T-Shirt</c:v>
                </c:pt>
                <c:pt idx="5">
                  <c:v>Watch</c:v>
                </c:pt>
              </c:strCache>
            </c:strRef>
          </c:cat>
          <c:val>
            <c:numRef>
              <c:f>Sales_Data!$E$14:$E$20</c:f>
              <c:numCache>
                <c:formatCode>General</c:formatCode>
                <c:ptCount val="6"/>
                <c:pt idx="0">
                  <c:v>6000</c:v>
                </c:pt>
                <c:pt idx="1">
                  <c:v>150000</c:v>
                </c:pt>
                <c:pt idx="2">
                  <c:v>50000</c:v>
                </c:pt>
                <c:pt idx="3">
                  <c:v>10000</c:v>
                </c:pt>
                <c:pt idx="4">
                  <c:v>4000</c:v>
                </c:pt>
                <c:pt idx="5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A-4C44-B891-A6ADD6279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565319"/>
        <c:axId val="1887567367"/>
      </c:barChart>
      <c:catAx>
        <c:axId val="1887565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67367"/>
        <c:crosses val="autoZero"/>
        <c:auto val="1"/>
        <c:lblAlgn val="ctr"/>
        <c:lblOffset val="100"/>
        <c:noMultiLvlLbl val="0"/>
      </c:catAx>
      <c:valAx>
        <c:axId val="1887567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65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Dashboard.xlsx]Sales_Data!PivotTable2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Revenue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Sales_Data!$D$14:$D$20</c:f>
              <c:strCache>
                <c:ptCount val="6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Shoes</c:v>
                </c:pt>
                <c:pt idx="4">
                  <c:v>T-Shirt</c:v>
                </c:pt>
                <c:pt idx="5">
                  <c:v>Watch</c:v>
                </c:pt>
              </c:strCache>
            </c:strRef>
          </c:cat>
          <c:val>
            <c:numRef>
              <c:f>Sales_Data!$E$14:$E$20</c:f>
              <c:numCache>
                <c:formatCode>General</c:formatCode>
                <c:ptCount val="6"/>
                <c:pt idx="0">
                  <c:v>6000</c:v>
                </c:pt>
                <c:pt idx="1">
                  <c:v>150000</c:v>
                </c:pt>
                <c:pt idx="2">
                  <c:v>50000</c:v>
                </c:pt>
                <c:pt idx="3">
                  <c:v>10000</c:v>
                </c:pt>
                <c:pt idx="4">
                  <c:v>4000</c:v>
                </c:pt>
                <c:pt idx="5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9-4579-825B-B34B99F1B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523016"/>
        <c:axId val="1468525064"/>
      </c:barChart>
      <c:catAx>
        <c:axId val="1468523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525064"/>
        <c:crosses val="autoZero"/>
        <c:auto val="1"/>
        <c:lblAlgn val="ctr"/>
        <c:lblOffset val="100"/>
        <c:noMultiLvlLbl val="0"/>
      </c:catAx>
      <c:valAx>
        <c:axId val="146852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52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Dashboard.xlsx]Sales_Data!PivotTable1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Sales_Data!$A$22:$A$26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Nagpur</c:v>
                </c:pt>
              </c:strCache>
            </c:strRef>
          </c:cat>
          <c:val>
            <c:numRef>
              <c:f>Sales_Data!$B$22:$B$26</c:f>
              <c:numCache>
                <c:formatCode>General</c:formatCode>
                <c:ptCount val="4"/>
                <c:pt idx="0">
                  <c:v>131000</c:v>
                </c:pt>
                <c:pt idx="1">
                  <c:v>56000</c:v>
                </c:pt>
                <c:pt idx="2">
                  <c:v>40000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0-45BB-B133-111892336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549640"/>
        <c:axId val="1292534792"/>
      </c:barChart>
      <c:catAx>
        <c:axId val="129254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534792"/>
        <c:crosses val="autoZero"/>
        <c:auto val="1"/>
        <c:lblAlgn val="ctr"/>
        <c:lblOffset val="100"/>
        <c:noMultiLvlLbl val="0"/>
      </c:catAx>
      <c:valAx>
        <c:axId val="129253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54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180975</xdr:rowOff>
    </xdr:from>
    <xdr:to>
      <xdr:col>13</xdr:col>
      <xdr:colOff>0</xdr:colOff>
      <xdr:row>26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23AA83-948E-AC78-DA3D-15619BB70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9525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879E8-6633-4261-A67F-8FCC666B26B9}"/>
            </a:ext>
            <a:ext uri="{147F2762-F138-4A5C-976F-8EAC2B608ADB}">
              <a16:predDERef xmlns:a16="http://schemas.microsoft.com/office/drawing/2014/main" pred="{1123AA83-948E-AC78-DA3D-15619BB70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8</xdr:col>
      <xdr:colOff>600075</xdr:colOff>
      <xdr:row>29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299E13-6D76-4B88-A561-1537AE544513}"/>
            </a:ext>
            <a:ext uri="{147F2762-F138-4A5C-976F-8EAC2B608ADB}">
              <a16:predDERef xmlns:a16="http://schemas.microsoft.com/office/drawing/2014/main" pred="{BDF879E8-6633-4261-A67F-8FCC666B2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3.781163194442" createdVersion="8" refreshedVersion="8" minRefreshableVersion="3" recordCount="10" xr:uid="{0427616C-FD95-4758-B9B1-5C3309649F8A}">
  <cacheSource type="worksheet">
    <worksheetSource ref="A1:J11" sheet="Sales_Data"/>
  </cacheSource>
  <cacheFields count="10">
    <cacheField name="Order_ID" numFmtId="0">
      <sharedItems/>
    </cacheField>
    <cacheField name="Date" numFmtId="14">
      <sharedItems containsSemiMixedTypes="0" containsNonDate="0" containsDate="1" containsString="0" minDate="2026-06-01T00:00:00" maxDate="2026-06-06T00:00:00"/>
    </cacheField>
    <cacheField name="Customer" numFmtId="0">
      <sharedItems/>
    </cacheField>
    <cacheField name="Product" numFmtId="0">
      <sharedItems count="6">
        <s v="Laptop"/>
        <s v="Mobile"/>
        <s v="Watch"/>
        <s v="Shoes"/>
        <s v="Headphones"/>
        <s v="T-Shirt"/>
      </sharedItems>
    </cacheField>
    <cacheField name="Category" numFmtId="0">
      <sharedItems count="3">
        <s v="Electronics"/>
        <s v="Accessories"/>
        <s v="Fashion"/>
      </sharedItems>
    </cacheField>
    <cacheField name="City" numFmtId="0">
      <sharedItems count="4">
        <s v="Mumbai"/>
        <s v="Delhi"/>
        <s v="Pune"/>
        <s v="Nagpur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800" maxValue="50000"/>
    </cacheField>
    <cacheField name="Sales" numFmtId="0">
      <sharedItems containsSemiMixedTypes="0" containsString="0" containsNumber="1" containsInteger="1" minValue="4000" maxValue="100000" count="7">
        <n v="100000"/>
        <n v="50000"/>
        <n v="25000"/>
        <n v="10000"/>
        <n v="6000"/>
        <n v="5000"/>
        <n v="4000"/>
      </sharedItems>
    </cacheField>
    <cacheField name="Order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001"/>
    <d v="2026-06-01T00:00:00"/>
    <s v="Rahul"/>
    <x v="0"/>
    <x v="0"/>
    <x v="0"/>
    <n v="2"/>
    <n v="50000"/>
    <x v="0"/>
    <s v="High Value"/>
  </r>
  <r>
    <s v="O007"/>
    <d v="2026-06-04T00:00:00"/>
    <s v="Vikram"/>
    <x v="0"/>
    <x v="0"/>
    <x v="1"/>
    <n v="1"/>
    <n v="50000"/>
    <x v="1"/>
    <s v="High Value"/>
  </r>
  <r>
    <s v="O002"/>
    <d v="2026-06-01T00:00:00"/>
    <s v="Priya"/>
    <x v="1"/>
    <x v="0"/>
    <x v="2"/>
    <n v="1"/>
    <n v="25000"/>
    <x v="2"/>
    <s v="High Value"/>
  </r>
  <r>
    <s v="O009"/>
    <d v="2026-06-05T00:00:00"/>
    <s v="Karan"/>
    <x v="1"/>
    <x v="0"/>
    <x v="0"/>
    <n v="1"/>
    <n v="25000"/>
    <x v="2"/>
    <s v="High Value"/>
  </r>
  <r>
    <s v="O010"/>
    <d v="2026-06-05T00:00:00"/>
    <s v="Pooja"/>
    <x v="2"/>
    <x v="1"/>
    <x v="2"/>
    <n v="2"/>
    <n v="5000"/>
    <x v="3"/>
    <s v="Low Value"/>
  </r>
  <r>
    <s v="O003"/>
    <d v="2026-06-02T00:00:00"/>
    <s v="Arjun"/>
    <x v="3"/>
    <x v="2"/>
    <x v="1"/>
    <n v="3"/>
    <n v="2000"/>
    <x v="4"/>
    <s v="Low Value"/>
  </r>
  <r>
    <s v="O005"/>
    <d v="2026-06-03T00:00:00"/>
    <s v="Amit"/>
    <x v="4"/>
    <x v="0"/>
    <x v="0"/>
    <n v="2"/>
    <n v="3000"/>
    <x v="4"/>
    <s v="Low Value"/>
  </r>
  <r>
    <s v="O006"/>
    <d v="2026-06-03T00:00:00"/>
    <s v="Neha"/>
    <x v="2"/>
    <x v="1"/>
    <x v="2"/>
    <n v="1"/>
    <n v="5000"/>
    <x v="5"/>
    <s v="Low Value"/>
  </r>
  <r>
    <s v="O004"/>
    <d v="2026-06-02T00:00:00"/>
    <s v="Sana"/>
    <x v="5"/>
    <x v="2"/>
    <x v="3"/>
    <n v="5"/>
    <n v="800"/>
    <x v="6"/>
    <s v="Low Value"/>
  </r>
  <r>
    <s v="O008"/>
    <d v="2026-06-04T00:00:00"/>
    <s v="Ayesha"/>
    <x v="3"/>
    <x v="2"/>
    <x v="3"/>
    <n v="2"/>
    <n v="2000"/>
    <x v="6"/>
    <s v="Low 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655BB-B89F-4612-8998-2FCD42F31FAC}" name="PivotTable3" cacheId="6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2:E26" firstHeaderRow="1" firstDataRow="1" firstDataCol="1"/>
  <pivotFields count="10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F58A2-3C2F-4BCE-ADA5-FB5DED8C9A07}" name="PivotTable2" cacheId="6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D13:E20" firstHeaderRow="1" firstDataRow="1" firstDataCol="1"/>
  <pivotFields count="10">
    <pivotField compact="0" outline="0" showAll="0"/>
    <pivotField compact="0" numFmtId="14" outline="0" showAll="0"/>
    <pivotField compact="0" outline="0" showAll="0"/>
    <pivotField axis="axisRow" compact="0" outline="0" showAll="0">
      <items count="7">
        <item x="4"/>
        <item x="0"/>
        <item x="1"/>
        <item x="3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8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FA72E-D8A7-44E1-9987-C9539F102658}" name="PivotTable1" cacheId="6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 fieldListSortAscending="1">
  <location ref="A21:B26" firstHeaderRow="1" firstDataRow="1" firstDataCol="1"/>
  <pivotFields count="1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Sales" fld="8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CD0C7-BB04-43F7-A700-08C31AB497E2}" name="Table1" displayName="Table1" ref="A1:J11" totalsRowShown="0" headerRowDxfId="12" tableBorderDxfId="11">
  <autoFilter ref="A1:J11" xr:uid="{2DFCD0C7-BB04-43F7-A700-08C31AB497E2}"/>
  <sortState xmlns:xlrd2="http://schemas.microsoft.com/office/spreadsheetml/2017/richdata2" ref="A2:I11">
    <sortCondition descending="1" ref="I1:I11"/>
  </sortState>
  <tableColumns count="10">
    <tableColumn id="1" xr3:uid="{9F75EFCD-C9DA-4432-BEE4-2D58D3E42526}" name="Order_ID"/>
    <tableColumn id="2" xr3:uid="{5305E779-E406-408E-AE2A-19F633E3998E}" name="Date" dataDxfId="10"/>
    <tableColumn id="3" xr3:uid="{682CEECC-CB97-4ED7-88C8-DA8A814E8DEB}" name="Customer"/>
    <tableColumn id="4" xr3:uid="{0AB6E5EC-D34B-4742-8725-E86B5D829AF9}" name="Product"/>
    <tableColumn id="5" xr3:uid="{EC15F4A0-9B71-457E-8FD3-CD46B8D86BAB}" name="Category"/>
    <tableColumn id="6" xr3:uid="{8F571428-079C-40E7-905B-6B8238A035DC}" name="City"/>
    <tableColumn id="7" xr3:uid="{D4AAE634-97DF-4C8F-8915-CF0CCE974C80}" name="Quantity"/>
    <tableColumn id="8" xr3:uid="{3A9DE933-DD7B-4E9D-B23F-30F60DD47EF7}" name="Price"/>
    <tableColumn id="9" xr3:uid="{7656C1C0-2AE7-45F8-99C5-5870C4337218}" name="Sales"/>
    <tableColumn id="10" xr3:uid="{15EA562D-658F-4185-8C53-0A68FF795B39}" name="Order_Type" dataDxfId="9">
      <calculatedColumnFormula>IF(Table1[[#This Row],[Sales]]&gt;=20000,"High Value","Low Value")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8241E9-ACBD-4DDF-A641-C3B2679E1158}" name="Table2" displayName="Table2" ref="A13:B19" totalsRowCount="1" headerRowDxfId="8">
  <autoFilter ref="A13:B18" xr:uid="{258241E9-ACBD-4DDF-A641-C3B2679E1158}"/>
  <tableColumns count="2">
    <tableColumn id="1" xr3:uid="{7A39EDC8-A60B-4F5E-B875-EB174ABEA7DD}" name="Metric" totalsRowLabel="Total High value order"/>
    <tableColumn id="2" xr3:uid="{CC8D0C18-C03C-4D83-AAF8-F81B0BAD4853}" name="Value" totalsRowFunction="custom">
      <totalsRowFormula>SUMIF(Table1[Order_Type],"High Value",Table1[Sales])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437F62-62F1-4EBD-8D3B-DE587AA65D88}" name="Table3" displayName="Table3" ref="M1:O7" totalsRowShown="0" headerRowDxfId="7">
  <autoFilter ref="M1:O7" xr:uid="{2E437F62-62F1-4EBD-8D3B-DE587AA65D88}"/>
  <tableColumns count="3">
    <tableColumn id="1" xr3:uid="{C0E88D43-92D8-4335-AFCF-95FE954AFAED}" name="Product"/>
    <tableColumn id="2" xr3:uid="{EEEA871B-2D04-44F3-89B5-141E89562FF8}" name="Category"/>
    <tableColumn id="3" xr3:uid="{3DC7154A-A5B6-4E4D-A31B-E669206E380D}" name="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F00FA5-831E-45DC-8F01-1046E15FB690}" name="Table5" displayName="Table5" ref="U1:Z5" totalsRowShown="0" headerRowDxfId="6">
  <autoFilter ref="U1:Z5" xr:uid="{9AF00FA5-831E-45DC-8F01-1046E15FB690}"/>
  <tableColumns count="6">
    <tableColumn id="1" xr3:uid="{2557BBCA-1495-4F37-9D00-CAEB41FEC3EF}" name="Order_ID"/>
    <tableColumn id="2" xr3:uid="{EF11FAC0-D4E9-4DB9-8F2D-512238DE1773}" name="Product"/>
    <tableColumn id="3" xr3:uid="{B08E1AC8-F6B8-410E-84B0-780B49E813D2}" name="Quantity"/>
    <tableColumn id="4" xr3:uid="{E32585CC-B58A-4E3F-866A-6300EA114DFA}" name="Category" dataDxfId="5">
      <calculatedColumnFormula>_xlfn.XLOOKUP(V2,Table3[Product],Table3[Category])</calculatedColumnFormula>
    </tableColumn>
    <tableColumn id="5" xr3:uid="{69CACB3A-66D6-496B-A46C-EB33FA236E7B}" name="Price" dataDxfId="4">
      <calculatedColumnFormula>_xlfn.XLOOKUP(Table5[[#This Row],[Product]],Table3[Product],Table3[Price])</calculatedColumnFormula>
    </tableColumn>
    <tableColumn id="6" xr3:uid="{25029C51-1DB5-4800-A06D-54F85308D9A0}" name="Sales" dataDxfId="3">
      <calculatedColumnFormula>Table5[[#This Row],[Quantity]]*Table5[[#This Row],[Price]]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BA0A92-DBEF-4DE4-9FD6-A2C4047E9FFC}" name="Table6" displayName="Table6" ref="U7:V9" totalsRowShown="0">
  <autoFilter ref="U7:V9" xr:uid="{31BA0A92-DBEF-4DE4-9FD6-A2C4047E9FFC}"/>
  <tableColumns count="2">
    <tableColumn id="1" xr3:uid="{E1A4CF06-6BDC-46CA-9F9F-385299D42C95}" name="Metric"/>
    <tableColumn id="2" xr3:uid="{2B63D5CC-E2A5-44E2-9915-8E178E368ACD}" name="Value">
      <calculatedColumnFormula>SUMIFS(Table5[Sales],Table5[Category],"Fashion")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E0452D-F400-4B68-8BC1-869F43A1C275}" name="Table8" displayName="Table8" ref="O11:P16" totalsRowShown="0" headerRowDxfId="2">
  <autoFilter ref="O11:P16" xr:uid="{6AE0452D-F400-4B68-8BC1-869F43A1C275}"/>
  <tableColumns count="2">
    <tableColumn id="1" xr3:uid="{E98EE60B-2F78-47CB-B98A-764609E4E7E5}" name="Metric"/>
    <tableColumn id="2" xr3:uid="{F24A129D-2FB0-4747-8390-3546B5DC8E39}" name="Value" dataDxfId="1">
      <calculatedColumnFormula>SUM(Table1[Sales])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61EBA4-389A-4B87-92A5-9EECA697B97B}" name="Table4" displayName="Table4" ref="A2:B10" totalsRowShown="0" headerRowDxfId="0">
  <autoFilter ref="A2:B10" xr:uid="{F061EBA4-389A-4B87-92A5-9EECA697B97B}"/>
  <tableColumns count="2">
    <tableColumn id="1" xr3:uid="{E515F666-3440-45DF-AD1D-D4B3627FEDAA}" name="Metric"/>
    <tableColumn id="2" xr3:uid="{FAB37F97-CB54-41FD-BCC2-5F5826D606D2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10" Type="http://schemas.openxmlformats.org/officeDocument/2006/relationships/table" Target="../tables/table6.xml"/><Relationship Id="rId4" Type="http://schemas.openxmlformats.org/officeDocument/2006/relationships/drawing" Target="../drawings/drawing1.xml"/><Relationship Id="rId9" Type="http://schemas.openxmlformats.org/officeDocument/2006/relationships/table" Target="../tables/table5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opLeftCell="A8" workbookViewId="0">
      <selection activeCell="A21" sqref="A21:B25"/>
    </sheetView>
  </sheetViews>
  <sheetFormatPr defaultRowHeight="15"/>
  <cols>
    <col min="1" max="1" width="20.5703125" bestFit="1" customWidth="1"/>
    <col min="2" max="2" width="11.140625" bestFit="1" customWidth="1"/>
    <col min="3" max="3" width="11.7109375" bestFit="1" customWidth="1"/>
    <col min="4" max="4" width="12" bestFit="1" customWidth="1"/>
    <col min="5" max="5" width="12.140625" bestFit="1" customWidth="1"/>
    <col min="7" max="7" width="11" bestFit="1" customWidth="1"/>
    <col min="10" max="10" width="13.7109375" bestFit="1" customWidth="1"/>
    <col min="13" max="13" width="11.85546875" bestFit="1" customWidth="1"/>
    <col min="14" max="14" width="11.140625" bestFit="1" customWidth="1"/>
    <col min="15" max="15" width="18.42578125" bestFit="1" customWidth="1"/>
    <col min="16" max="16" width="11.42578125" bestFit="1" customWidth="1"/>
    <col min="17" max="18" width="12.140625" bestFit="1" customWidth="1"/>
    <col min="19" max="19" width="11" bestFit="1" customWidth="1"/>
    <col min="21" max="21" width="15.28515625" bestFit="1" customWidth="1"/>
    <col min="22" max="22" width="10.140625" bestFit="1" customWidth="1"/>
    <col min="23" max="23" width="11" bestFit="1" customWidth="1"/>
    <col min="24" max="24" width="11.140625" bestFit="1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M1" s="1" t="s">
        <v>3</v>
      </c>
      <c r="N1" s="1" t="s">
        <v>4</v>
      </c>
      <c r="O1" s="1" t="s">
        <v>7</v>
      </c>
      <c r="Q1" s="1"/>
      <c r="R1" s="1"/>
      <c r="S1" s="1"/>
      <c r="U1" s="1" t="s">
        <v>0</v>
      </c>
      <c r="V1" s="1" t="s">
        <v>3</v>
      </c>
      <c r="W1" s="1" t="s">
        <v>6</v>
      </c>
      <c r="X1" s="1" t="s">
        <v>4</v>
      </c>
      <c r="Y1" s="1" t="s">
        <v>7</v>
      </c>
      <c r="Z1" s="1" t="s">
        <v>8</v>
      </c>
    </row>
    <row r="2" spans="1:26">
      <c r="A2" s="3" t="s">
        <v>10</v>
      </c>
      <c r="B2" s="4">
        <v>46174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2</v>
      </c>
      <c r="H2" s="3">
        <v>50000</v>
      </c>
      <c r="I2" s="3">
        <v>100000</v>
      </c>
      <c r="J2" t="str">
        <f>IF(Table1[[#This Row],[Sales]]&gt;=20000,"High Value","Low Value")</f>
        <v>High Value</v>
      </c>
      <c r="M2" t="s">
        <v>12</v>
      </c>
      <c r="N2" t="s">
        <v>13</v>
      </c>
      <c r="O2">
        <v>50000</v>
      </c>
      <c r="U2" t="s">
        <v>15</v>
      </c>
      <c r="V2" t="s">
        <v>12</v>
      </c>
      <c r="W2">
        <v>1</v>
      </c>
      <c r="X2" t="str">
        <f>_xlfn.XLOOKUP(V2,Table3[Product],Table3[Category])</f>
        <v>Electronics</v>
      </c>
      <c r="Y2">
        <f>_xlfn.XLOOKUP(Table5[[#This Row],[Product]],Table3[Product],Table3[Price])</f>
        <v>50000</v>
      </c>
      <c r="Z2">
        <f>Table5[[#This Row],[Quantity]]*Table5[[#This Row],[Price]]</f>
        <v>50000</v>
      </c>
    </row>
    <row r="3" spans="1:26">
      <c r="A3" s="3" t="s">
        <v>16</v>
      </c>
      <c r="B3" s="4">
        <v>46177</v>
      </c>
      <c r="C3" s="3" t="s">
        <v>17</v>
      </c>
      <c r="D3" s="3" t="s">
        <v>12</v>
      </c>
      <c r="E3" s="3" t="s">
        <v>13</v>
      </c>
      <c r="F3" s="3" t="s">
        <v>18</v>
      </c>
      <c r="G3" s="3">
        <v>1</v>
      </c>
      <c r="H3" s="3">
        <v>50000</v>
      </c>
      <c r="I3" s="3">
        <v>50000</v>
      </c>
      <c r="J3" t="str">
        <f>IF(Table1[[#This Row],[Sales]]&gt;=20000,"High Value","Low Value")</f>
        <v>High Value</v>
      </c>
      <c r="M3" t="s">
        <v>19</v>
      </c>
      <c r="N3" t="s">
        <v>13</v>
      </c>
      <c r="O3">
        <v>25000</v>
      </c>
      <c r="U3" t="s">
        <v>20</v>
      </c>
      <c r="V3" t="s">
        <v>19</v>
      </c>
      <c r="W3">
        <v>2</v>
      </c>
      <c r="X3" t="str">
        <f>_xlfn.XLOOKUP(V3,Table3[Product],Table3[Category])</f>
        <v>Electronics</v>
      </c>
      <c r="Y3">
        <f>_xlfn.XLOOKUP(Table5[[#This Row],[Product]],Table3[Product],Table3[Price])</f>
        <v>25000</v>
      </c>
      <c r="Z3">
        <f>Table5[[#This Row],[Quantity]]*Table5[[#This Row],[Price]]</f>
        <v>50000</v>
      </c>
    </row>
    <row r="4" spans="1:26">
      <c r="A4" s="3" t="s">
        <v>21</v>
      </c>
      <c r="B4" s="4">
        <v>46174</v>
      </c>
      <c r="C4" s="3" t="s">
        <v>22</v>
      </c>
      <c r="D4" s="3" t="s">
        <v>19</v>
      </c>
      <c r="E4" s="3" t="s">
        <v>13</v>
      </c>
      <c r="F4" s="3" t="s">
        <v>23</v>
      </c>
      <c r="G4" s="3">
        <v>1</v>
      </c>
      <c r="H4" s="3">
        <v>25000</v>
      </c>
      <c r="I4" s="3">
        <v>25000</v>
      </c>
      <c r="J4" t="str">
        <f>IF(Table1[[#This Row],[Sales]]&gt;=20000,"High Value","Low Value")</f>
        <v>High Value</v>
      </c>
      <c r="M4" t="s">
        <v>24</v>
      </c>
      <c r="N4" t="s">
        <v>13</v>
      </c>
      <c r="O4">
        <v>3000</v>
      </c>
      <c r="U4" t="s">
        <v>25</v>
      </c>
      <c r="V4" t="s">
        <v>26</v>
      </c>
      <c r="W4">
        <v>1</v>
      </c>
      <c r="X4" t="str">
        <f>_xlfn.XLOOKUP(V4,Table3[Product],Table3[Category])</f>
        <v>Accessories</v>
      </c>
      <c r="Y4">
        <f>_xlfn.XLOOKUP(Table5[[#This Row],[Product]],Table3[Product],Table3[Price])</f>
        <v>5000</v>
      </c>
      <c r="Z4">
        <f>Table5[[#This Row],[Quantity]]*Table5[[#This Row],[Price]]</f>
        <v>5000</v>
      </c>
    </row>
    <row r="5" spans="1:26">
      <c r="A5" s="3" t="s">
        <v>27</v>
      </c>
      <c r="B5" s="4">
        <v>46178</v>
      </c>
      <c r="C5" s="3" t="s">
        <v>28</v>
      </c>
      <c r="D5" s="3" t="s">
        <v>19</v>
      </c>
      <c r="E5" s="3" t="s">
        <v>13</v>
      </c>
      <c r="F5" s="3" t="s">
        <v>14</v>
      </c>
      <c r="G5" s="3">
        <v>1</v>
      </c>
      <c r="H5" s="3">
        <v>25000</v>
      </c>
      <c r="I5" s="3">
        <v>25000</v>
      </c>
      <c r="J5" t="str">
        <f>IF(Table1[[#This Row],[Sales]]&gt;=20000,"High Value","Low Value")</f>
        <v>High Value</v>
      </c>
      <c r="M5" t="s">
        <v>26</v>
      </c>
      <c r="N5" t="s">
        <v>29</v>
      </c>
      <c r="O5">
        <v>5000</v>
      </c>
      <c r="U5" t="s">
        <v>30</v>
      </c>
      <c r="V5" t="s">
        <v>31</v>
      </c>
      <c r="W5">
        <v>3</v>
      </c>
      <c r="X5" t="str">
        <f>_xlfn.XLOOKUP(V5,Table3[Product],Table3[Category])</f>
        <v>Fashion</v>
      </c>
      <c r="Y5">
        <f>_xlfn.XLOOKUP(Table5[[#This Row],[Product]],Table3[Product],Table3[Price])</f>
        <v>2000</v>
      </c>
      <c r="Z5">
        <f>Table5[[#This Row],[Quantity]]*Table5[[#This Row],[Price]]</f>
        <v>6000</v>
      </c>
    </row>
    <row r="6" spans="1:26">
      <c r="A6" s="3" t="s">
        <v>32</v>
      </c>
      <c r="B6" s="4">
        <v>46178</v>
      </c>
      <c r="C6" s="3" t="s">
        <v>33</v>
      </c>
      <c r="D6" s="3" t="s">
        <v>26</v>
      </c>
      <c r="E6" s="3" t="s">
        <v>29</v>
      </c>
      <c r="F6" s="3" t="s">
        <v>23</v>
      </c>
      <c r="G6" s="3">
        <v>2</v>
      </c>
      <c r="H6" s="3">
        <v>5000</v>
      </c>
      <c r="I6" s="3">
        <v>10000</v>
      </c>
      <c r="J6" t="str">
        <f>IF(Table1[[#This Row],[Sales]]&gt;=20000,"High Value","Low Value")</f>
        <v>Low Value</v>
      </c>
      <c r="M6" t="s">
        <v>31</v>
      </c>
      <c r="N6" t="s">
        <v>34</v>
      </c>
      <c r="O6">
        <v>2000</v>
      </c>
    </row>
    <row r="7" spans="1:26">
      <c r="A7" s="3" t="s">
        <v>35</v>
      </c>
      <c r="B7" s="4">
        <v>46175</v>
      </c>
      <c r="C7" s="3" t="s">
        <v>36</v>
      </c>
      <c r="D7" s="3" t="s">
        <v>31</v>
      </c>
      <c r="E7" s="3" t="s">
        <v>34</v>
      </c>
      <c r="F7" s="3" t="s">
        <v>18</v>
      </c>
      <c r="G7" s="3">
        <v>3</v>
      </c>
      <c r="H7" s="3">
        <v>2000</v>
      </c>
      <c r="I7" s="3">
        <v>6000</v>
      </c>
      <c r="J7" t="str">
        <f>IF(Table1[[#This Row],[Sales]]&gt;=20000,"High Value","Low Value")</f>
        <v>Low Value</v>
      </c>
      <c r="M7" t="s">
        <v>37</v>
      </c>
      <c r="N7" t="s">
        <v>34</v>
      </c>
      <c r="O7">
        <v>800</v>
      </c>
      <c r="U7" t="s">
        <v>38</v>
      </c>
      <c r="V7" t="s">
        <v>39</v>
      </c>
    </row>
    <row r="8" spans="1:26">
      <c r="A8" s="3" t="s">
        <v>40</v>
      </c>
      <c r="B8" s="4">
        <v>46176</v>
      </c>
      <c r="C8" s="3" t="s">
        <v>41</v>
      </c>
      <c r="D8" s="3" t="s">
        <v>24</v>
      </c>
      <c r="E8" s="3" t="s">
        <v>13</v>
      </c>
      <c r="F8" s="3" t="s">
        <v>14</v>
      </c>
      <c r="G8" s="3">
        <v>2</v>
      </c>
      <c r="H8" s="3">
        <v>3000</v>
      </c>
      <c r="I8" s="3">
        <v>6000</v>
      </c>
      <c r="J8" t="str">
        <f>IF(Table1[[#This Row],[Sales]]&gt;=20000,"High Value","Low Value")</f>
        <v>Low Value</v>
      </c>
      <c r="U8" t="s">
        <v>42</v>
      </c>
      <c r="V8">
        <f>SUMIFS(Table5[Sales],Table5[Category],"Electronics")</f>
        <v>100000</v>
      </c>
    </row>
    <row r="9" spans="1:26">
      <c r="A9" s="3" t="s">
        <v>43</v>
      </c>
      <c r="B9" s="4">
        <v>46176</v>
      </c>
      <c r="C9" s="3" t="s">
        <v>44</v>
      </c>
      <c r="D9" s="3" t="s">
        <v>26</v>
      </c>
      <c r="E9" s="3" t="s">
        <v>29</v>
      </c>
      <c r="F9" s="3" t="s">
        <v>23</v>
      </c>
      <c r="G9" s="3">
        <v>1</v>
      </c>
      <c r="H9" s="3">
        <v>5000</v>
      </c>
      <c r="I9" s="3">
        <v>5000</v>
      </c>
      <c r="J9" t="str">
        <f>IF(Table1[[#This Row],[Sales]]&gt;=20000,"High Value","Low Value")</f>
        <v>Low Value</v>
      </c>
      <c r="U9" t="s">
        <v>45</v>
      </c>
      <c r="V9">
        <f>SUMIFS(Table5[Sales],Table5[Category],"Fashion")</f>
        <v>6000</v>
      </c>
    </row>
    <row r="10" spans="1:26">
      <c r="A10" s="3" t="s">
        <v>46</v>
      </c>
      <c r="B10" s="4">
        <v>46175</v>
      </c>
      <c r="C10" s="3" t="s">
        <v>47</v>
      </c>
      <c r="D10" s="3" t="s">
        <v>37</v>
      </c>
      <c r="E10" s="3" t="s">
        <v>34</v>
      </c>
      <c r="F10" s="3" t="s">
        <v>48</v>
      </c>
      <c r="G10" s="3">
        <v>5</v>
      </c>
      <c r="H10" s="3">
        <v>800</v>
      </c>
      <c r="I10" s="3">
        <v>4000</v>
      </c>
      <c r="J10" t="str">
        <f>IF(Table1[[#This Row],[Sales]]&gt;=20000,"High Value","Low Value")</f>
        <v>Low Value</v>
      </c>
    </row>
    <row r="11" spans="1:26">
      <c r="A11" s="3" t="s">
        <v>49</v>
      </c>
      <c r="B11" s="4">
        <v>46177</v>
      </c>
      <c r="C11" s="3" t="s">
        <v>50</v>
      </c>
      <c r="D11" s="3" t="s">
        <v>31</v>
      </c>
      <c r="E11" s="3" t="s">
        <v>34</v>
      </c>
      <c r="F11" s="3" t="s">
        <v>48</v>
      </c>
      <c r="G11" s="3">
        <v>2</v>
      </c>
      <c r="H11" s="3">
        <v>2000</v>
      </c>
      <c r="I11" s="3">
        <v>4000</v>
      </c>
      <c r="J11" t="str">
        <f>IF(Table1[[#This Row],[Sales]]&gt;=20000,"High Value","Low Value")</f>
        <v>Low Value</v>
      </c>
      <c r="O11" s="1" t="s">
        <v>38</v>
      </c>
      <c r="P11" s="1" t="s">
        <v>39</v>
      </c>
    </row>
    <row r="12" spans="1:26">
      <c r="O12" t="s">
        <v>51</v>
      </c>
      <c r="P12">
        <f>SUM(Table1[Sales])</f>
        <v>235000</v>
      </c>
    </row>
    <row r="13" spans="1:26">
      <c r="A13" s="1" t="s">
        <v>38</v>
      </c>
      <c r="B13" s="1" t="s">
        <v>39</v>
      </c>
      <c r="D13" s="5" t="s">
        <v>3</v>
      </c>
      <c r="E13" t="s">
        <v>52</v>
      </c>
      <c r="O13" t="s">
        <v>53</v>
      </c>
      <c r="P13" s="6">
        <f>COUNT(Table1[Sales])</f>
        <v>10</v>
      </c>
    </row>
    <row r="14" spans="1:26">
      <c r="A14" t="s">
        <v>51</v>
      </c>
      <c r="B14" t="s">
        <v>54</v>
      </c>
      <c r="D14" t="s">
        <v>24</v>
      </c>
      <c r="E14" s="6">
        <v>6000</v>
      </c>
      <c r="O14" t="s">
        <v>55</v>
      </c>
      <c r="P14" s="6">
        <f>AVERAGE(Table1[Sales])</f>
        <v>23500</v>
      </c>
    </row>
    <row r="15" spans="1:26">
      <c r="A15" t="s">
        <v>55</v>
      </c>
      <c r="B15" t="s">
        <v>56</v>
      </c>
      <c r="D15" t="s">
        <v>12</v>
      </c>
      <c r="E15" s="6">
        <v>150000</v>
      </c>
      <c r="O15" t="s">
        <v>57</v>
      </c>
      <c r="P15" s="6">
        <f>MAX(Table1[Sales])</f>
        <v>100000</v>
      </c>
    </row>
    <row r="16" spans="1:26">
      <c r="A16" t="s">
        <v>53</v>
      </c>
      <c r="B16">
        <v>10</v>
      </c>
      <c r="D16" t="s">
        <v>19</v>
      </c>
      <c r="E16" s="6">
        <v>50000</v>
      </c>
      <c r="O16" t="s">
        <v>58</v>
      </c>
      <c r="P16" s="6">
        <f>SUMIFS(Table1[Sales],Table1[Category],"Electronics")</f>
        <v>206000</v>
      </c>
    </row>
    <row r="17" spans="1:5">
      <c r="A17" t="s">
        <v>57</v>
      </c>
      <c r="B17" t="s">
        <v>59</v>
      </c>
      <c r="D17" t="s">
        <v>31</v>
      </c>
      <c r="E17" s="6">
        <v>10000</v>
      </c>
    </row>
    <row r="18" spans="1:5">
      <c r="A18" t="s">
        <v>60</v>
      </c>
      <c r="B18">
        <f>COUNTIF(Table1[Order_Type],"High Value")</f>
        <v>4</v>
      </c>
      <c r="D18" t="s">
        <v>37</v>
      </c>
      <c r="E18" s="6">
        <v>4000</v>
      </c>
    </row>
    <row r="19" spans="1:5">
      <c r="A19" t="s">
        <v>61</v>
      </c>
      <c r="B19">
        <f>SUMIF(Table1[Order_Type],"High Value",Table1[Sales])</f>
        <v>200000</v>
      </c>
      <c r="D19" t="s">
        <v>26</v>
      </c>
      <c r="E19" s="6">
        <v>15000</v>
      </c>
    </row>
    <row r="20" spans="1:5">
      <c r="D20" t="s">
        <v>62</v>
      </c>
      <c r="E20" s="6">
        <v>235000</v>
      </c>
    </row>
    <row r="21" spans="1:5">
      <c r="A21" s="5" t="s">
        <v>5</v>
      </c>
      <c r="B21" t="s">
        <v>52</v>
      </c>
    </row>
    <row r="22" spans="1:5">
      <c r="A22" t="s">
        <v>14</v>
      </c>
      <c r="B22" s="6">
        <v>131000</v>
      </c>
      <c r="D22" s="5" t="s">
        <v>4</v>
      </c>
      <c r="E22" t="s">
        <v>52</v>
      </c>
    </row>
    <row r="23" spans="1:5">
      <c r="A23" t="s">
        <v>18</v>
      </c>
      <c r="B23" s="6">
        <v>56000</v>
      </c>
      <c r="D23" t="s">
        <v>13</v>
      </c>
      <c r="E23" s="6">
        <v>206000</v>
      </c>
    </row>
    <row r="24" spans="1:5">
      <c r="A24" t="s">
        <v>23</v>
      </c>
      <c r="B24" s="6">
        <v>40000</v>
      </c>
      <c r="D24" t="s">
        <v>29</v>
      </c>
      <c r="E24" s="6">
        <v>15000</v>
      </c>
    </row>
    <row r="25" spans="1:5">
      <c r="A25" t="s">
        <v>48</v>
      </c>
      <c r="B25" s="6">
        <v>8000</v>
      </c>
      <c r="D25" t="s">
        <v>34</v>
      </c>
      <c r="E25" s="6">
        <v>14000</v>
      </c>
    </row>
    <row r="26" spans="1:5">
      <c r="A26" t="s">
        <v>62</v>
      </c>
      <c r="B26" s="6">
        <v>235000</v>
      </c>
      <c r="D26" t="s">
        <v>62</v>
      </c>
      <c r="E26" s="6">
        <v>235000</v>
      </c>
    </row>
  </sheetData>
  <conditionalFormatting sqref="I2:I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1">
    <cfRule type="cellIs" dxfId="13" priority="1" operator="greaterThan">
      <formula>20000</formula>
    </cfRule>
  </conditionalFormatting>
  <dataValidations count="1">
    <dataValidation type="list" allowBlank="1" showInputMessage="1" showErrorMessage="1" sqref="V2:V5" xr:uid="{89F0CBE1-44D6-438C-963F-31EEC312BAA9}">
      <formula1>"M2:M7"</formula1>
    </dataValidation>
  </dataValidations>
  <pageMargins left="0.7" right="0.7" top="0.75" bottom="0.75" header="0.3" footer="0.3"/>
  <drawing r:id="rId4"/>
  <tableParts count="6"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A27C-979B-4011-9C5D-345567398249}">
  <dimension ref="A1:B10"/>
  <sheetViews>
    <sheetView tabSelected="1" workbookViewId="0">
      <selection activeCell="A2" sqref="A2:B10"/>
    </sheetView>
  </sheetViews>
  <sheetFormatPr defaultRowHeight="15"/>
  <cols>
    <col min="1" max="1" width="26.85546875" bestFit="1" customWidth="1"/>
    <col min="2" max="2" width="13.7109375" bestFit="1" customWidth="1"/>
  </cols>
  <sheetData>
    <row r="1" spans="1:2" ht="18.75">
      <c r="A1" s="7" t="s">
        <v>63</v>
      </c>
      <c r="B1" s="7"/>
    </row>
    <row r="2" spans="1:2">
      <c r="A2" s="1" t="s">
        <v>38</v>
      </c>
      <c r="B2" s="1" t="s">
        <v>39</v>
      </c>
    </row>
    <row r="3" spans="1:2">
      <c r="A3" t="s">
        <v>51</v>
      </c>
      <c r="B3" t="s">
        <v>54</v>
      </c>
    </row>
    <row r="4" spans="1:2">
      <c r="A4" t="s">
        <v>53</v>
      </c>
      <c r="B4">
        <v>10</v>
      </c>
    </row>
    <row r="5" spans="1:2">
      <c r="A5" t="s">
        <v>55</v>
      </c>
      <c r="B5" t="s">
        <v>56</v>
      </c>
    </row>
    <row r="6" spans="1:2">
      <c r="A6" t="s">
        <v>57</v>
      </c>
      <c r="B6" t="s">
        <v>59</v>
      </c>
    </row>
    <row r="7" spans="1:2">
      <c r="A7" t="s">
        <v>58</v>
      </c>
      <c r="B7" t="s">
        <v>64</v>
      </c>
    </row>
    <row r="8" spans="1:2">
      <c r="A8" t="s">
        <v>65</v>
      </c>
      <c r="B8" t="s">
        <v>12</v>
      </c>
    </row>
    <row r="9" spans="1:2">
      <c r="A9" t="s">
        <v>66</v>
      </c>
      <c r="B9" t="s">
        <v>14</v>
      </c>
    </row>
    <row r="10" spans="1:2">
      <c r="A10" t="s">
        <v>67</v>
      </c>
      <c r="B10" s="8">
        <v>0.87660000000000005</v>
      </c>
    </row>
  </sheetData>
  <mergeCells count="1">
    <mergeCell ref="A1:B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2026-06-10T12:49:35Z</dcterms:created>
  <dcterms:modified xsi:type="dcterms:W3CDTF">2026-06-12T04:44:10Z</dcterms:modified>
  <cp:category/>
  <cp:contentStatus/>
</cp:coreProperties>
</file>